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<sst xmlns="http://schemas.openxmlformats.org/spreadsheetml/2006/main" count="105" uniqueCount="90">
  <si>
    <t>Section</t>
  </si>
  <si>
    <t>Column Name(s)</t>
  </si>
  <si>
    <t>Data Type</t>
  </si>
  <si>
    <t>Visualization Image Path / Link</t>
  </si>
  <si>
    <t>Description of Visualization</t>
  </si>
  <si>
    <t>Insight and Business Relevance</t>
  </si>
  <si>
    <t>Univariate</t>
  </si>
  <si>
    <t>GRADE</t>
  </si>
  <si>
    <t>Categorical</t>
  </si>
  <si>
    <r>
      <rPr>
        <b/>
        <sz val="11"/>
        <color theme="1"/>
        <rFont val="Calibri"/>
        <charset val="134"/>
        <scheme val="minor"/>
      </rPr>
      <t>Bar and pie charts</t>
    </r>
    <r>
      <rPr>
        <sz val="11"/>
        <color theme="1"/>
        <rFont val="Calibri"/>
        <charset val="134"/>
      </rPr>
      <t xml:space="preserve"> showed production contribution by each steel grade.</t>
    </r>
  </si>
  <si>
    <t>Identifies top-performing grades and low-yield ones. Guides production planning and profitability focus.</t>
  </si>
  <si>
    <t>HOT_COLD</t>
  </si>
  <si>
    <r>
      <rPr>
        <b/>
        <sz val="11"/>
        <color theme="1"/>
        <rFont val="Calibri"/>
        <charset val="134"/>
        <scheme val="minor"/>
      </rPr>
      <t>Pie and box plots</t>
    </r>
    <r>
      <rPr>
        <sz val="11"/>
        <color theme="1"/>
        <rFont val="Calibri"/>
        <charset val="134"/>
      </rPr>
      <t xml:space="preserve"> compared production between hot and cold processes.</t>
    </r>
  </si>
  <si>
    <t>Reveals which process type yields higher or more stable production — useful for process optimization.</t>
  </si>
  <si>
    <t>Production (MT)</t>
  </si>
  <si>
    <t>Numeric</t>
  </si>
  <si>
    <r>
      <rPr>
        <b/>
        <sz val="11"/>
        <color theme="1"/>
        <rFont val="Calibri"/>
        <charset val="134"/>
        <scheme val="minor"/>
      </rPr>
      <t>Histogram and boxplot</t>
    </r>
    <r>
      <rPr>
        <sz val="11"/>
        <color theme="1"/>
        <rFont val="Calibri"/>
        <charset val="134"/>
      </rPr>
      <t xml:space="preserve"> examined production distribution and outliers.</t>
    </r>
  </si>
  <si>
    <t>Shows variation and possible process inconsistencies; supports quality and efficiency improvements.</t>
  </si>
  <si>
    <t>Pour_Back_Metal</t>
  </si>
  <si>
    <r>
      <rPr>
        <b/>
        <sz val="11"/>
        <color theme="1"/>
        <rFont val="Calibri"/>
        <charset val="134"/>
        <scheme val="minor"/>
      </rPr>
      <t>Scatter plot</t>
    </r>
    <r>
      <rPr>
        <sz val="11"/>
        <color theme="1"/>
        <rFont val="Calibri"/>
        <charset val="134"/>
      </rPr>
      <t xml:space="preserve"> visualized its relation to production.</t>
    </r>
  </si>
  <si>
    <t>All zero values — no variation; indicates minimal metal reprocessing and efficient melting.</t>
  </si>
  <si>
    <t>LM_WT (Liquid Metal Weight)</t>
  </si>
  <si>
    <r>
      <rPr>
        <b/>
        <sz val="11"/>
        <color theme="1"/>
        <rFont val="Calibri"/>
        <charset val="134"/>
        <scheme val="minor"/>
      </rPr>
      <t>Violin and box plots</t>
    </r>
    <r>
      <rPr>
        <sz val="11"/>
        <color theme="1"/>
        <rFont val="Calibri"/>
        <charset val="134"/>
      </rPr>
      <t xml:space="preserve"> analyzed spread of liquid metal weight across heats and grades.</t>
    </r>
  </si>
  <si>
    <t>Shows furnace loading consistency. Stable LM_WT reflects optimized furnace control and yield.</t>
  </si>
  <si>
    <t>SECTION</t>
  </si>
  <si>
    <r>
      <rPr>
        <b/>
        <sz val="11"/>
        <color theme="1"/>
        <rFont val="Calibri"/>
        <charset val="134"/>
        <scheme val="minor"/>
      </rPr>
      <t>Bar chart</t>
    </r>
    <r>
      <rPr>
        <sz val="11"/>
        <color theme="1"/>
        <rFont val="Calibri"/>
        <charset val="134"/>
      </rPr>
      <t xml:space="preserve"> displayed average production per section (top 15).</t>
    </r>
  </si>
  <si>
    <t>Identifies high-performing and low-performing sections for maintenance and resource allocation.</t>
  </si>
  <si>
    <t>SEN_OPEN</t>
  </si>
  <si>
    <r>
      <rPr>
        <b/>
        <sz val="11"/>
        <color theme="1"/>
        <rFont val="Calibri"/>
        <charset val="134"/>
        <scheme val="minor"/>
      </rPr>
      <t>Bar chart</t>
    </r>
    <r>
      <rPr>
        <sz val="11"/>
        <color theme="1"/>
        <rFont val="Calibri"/>
        <charset val="134"/>
      </rPr>
      <t xml:space="preserve"> of SEN (nozzle) openings vs. production.</t>
    </r>
  </si>
  <si>
    <t>All zeros — no variation; normally used to assess impact on casting flow and downtime.</t>
  </si>
  <si>
    <t>SECTION_IC</t>
  </si>
  <si>
    <r>
      <rPr>
        <b/>
        <sz val="11"/>
        <color theme="1"/>
        <rFont val="Calibri"/>
        <charset val="134"/>
        <scheme val="minor"/>
      </rPr>
      <t>Box plot</t>
    </r>
    <r>
      <rPr>
        <sz val="11"/>
        <color theme="1"/>
        <rFont val="Calibri"/>
        <charset val="134"/>
      </rPr>
      <t xml:space="preserve"> showing production variation across internal casting sections.</t>
    </r>
  </si>
  <si>
    <t>Highlights consistent vs. variable internal sections; supports section-level performance evaluation.</t>
  </si>
  <si>
    <t>Bivariate</t>
  </si>
  <si>
    <t>LM_WT vs Production (MT)</t>
  </si>
  <si>
    <t>Numeric–Numeric</t>
  </si>
  <si>
    <r>
      <rPr>
        <b/>
        <sz val="11"/>
        <color theme="1"/>
        <rFont val="Calibri"/>
        <charset val="134"/>
        <scheme val="minor"/>
      </rPr>
      <t>Scatter plot</t>
    </r>
    <r>
      <rPr>
        <sz val="11"/>
        <color theme="1"/>
        <rFont val="Calibri"/>
        <charset val="134"/>
      </rPr>
      <t xml:space="preserve"> with color-coded grades to show relationship between LM_WT and production.</t>
    </r>
  </si>
  <si>
    <t>Positive correlation — higher LM_WT leads to higher production; guides optimal furnace load management.</t>
  </si>
  <si>
    <t>HOT_COLD vs Production (MT)</t>
  </si>
  <si>
    <t>Categorical–Numeric</t>
  </si>
  <si>
    <r>
      <rPr>
        <b/>
        <sz val="11"/>
        <color theme="1"/>
        <rFont val="Calibri"/>
        <charset val="134"/>
        <scheme val="minor"/>
      </rPr>
      <t>Box plot</t>
    </r>
    <r>
      <rPr>
        <sz val="11"/>
        <color theme="1"/>
        <rFont val="Calibri"/>
        <charset val="134"/>
      </rPr>
      <t xml:space="preserve"> compared production levels between hot and cold processes.</t>
    </r>
  </si>
  <si>
    <t>Shows efficiency difference; helps select process type based on grade or production demand.</t>
  </si>
  <si>
    <t>SECTION vs Production (MT)</t>
  </si>
  <si>
    <r>
      <rPr>
        <b/>
        <sz val="11"/>
        <color theme="1"/>
        <rFont val="Calibri"/>
        <charset val="134"/>
        <scheme val="minor"/>
      </rPr>
      <t>Bar plot</t>
    </r>
    <r>
      <rPr>
        <sz val="11"/>
        <color theme="1"/>
        <rFont val="Calibri"/>
        <charset val="134"/>
      </rPr>
      <t xml:space="preserve"> of mean production for each section.</t>
    </r>
  </si>
  <si>
    <t>Reveals capacity distribution; supports equipment scheduling and workload balancing.</t>
  </si>
  <si>
    <t>GRADE vs HOT_COLD</t>
  </si>
  <si>
    <t>Categorical–Categorical</t>
  </si>
  <si>
    <r>
      <rPr>
        <b/>
        <sz val="11"/>
        <color theme="1"/>
        <rFont val="Calibri"/>
        <charset val="134"/>
        <scheme val="minor"/>
      </rPr>
      <t>Count plot</t>
    </r>
    <r>
      <rPr>
        <sz val="11"/>
        <color theme="1"/>
        <rFont val="Calibri"/>
        <charset val="134"/>
      </rPr>
      <t xml:space="preserve"> showed grade frequency across process types.</t>
    </r>
  </si>
  <si>
    <t>Reveals which grades are mostly produced in hot or cold processes; aids demand-based planning.</t>
  </si>
  <si>
    <t>SEN_OPEN vs Production (MT)</t>
  </si>
  <si>
    <r>
      <rPr>
        <b/>
        <sz val="11"/>
        <color theme="1"/>
        <rFont val="Calibri"/>
        <charset val="134"/>
        <scheme val="minor"/>
      </rPr>
      <t>Bar plot</t>
    </r>
    <r>
      <rPr>
        <sz val="11"/>
        <color theme="1"/>
        <rFont val="Calibri"/>
        <charset val="134"/>
      </rPr>
      <t xml:space="preserve"> of SEN openings vs. production.</t>
    </r>
  </si>
  <si>
    <t>No variation here; but typically helps analyze impact of nozzle behavior on output.</t>
  </si>
  <si>
    <t>SECTION_IC vs Production (MT)</t>
  </si>
  <si>
    <r>
      <rPr>
        <b/>
        <sz val="11"/>
        <color theme="1"/>
        <rFont val="Calibri"/>
        <charset val="134"/>
        <scheme val="minor"/>
      </rPr>
      <t>Box plot</t>
    </r>
    <r>
      <rPr>
        <sz val="11"/>
        <color theme="1"/>
        <rFont val="Calibri"/>
        <charset val="134"/>
      </rPr>
      <t xml:space="preserve"> showing internal section performance.</t>
    </r>
  </si>
  <si>
    <t>Identifies variability in section productivity; useful for internal process optimization.</t>
  </si>
  <si>
    <t>Pour_Back_Metal vs Production (MT)</t>
  </si>
  <si>
    <r>
      <rPr>
        <b/>
        <sz val="11"/>
        <color theme="1"/>
        <rFont val="Calibri"/>
        <charset val="134"/>
        <scheme val="minor"/>
      </rPr>
      <t>Scatter plot</t>
    </r>
    <r>
      <rPr>
        <sz val="11"/>
        <color theme="1"/>
        <rFont val="Calibri"/>
        <charset val="134"/>
      </rPr>
      <t xml:space="preserve"> visualizing their relationship.</t>
    </r>
  </si>
  <si>
    <t>Constant values; minimal reuse indicates efficient process flow.</t>
  </si>
  <si>
    <t>GRADE vs SECTION (Heatmap)</t>
  </si>
  <si>
    <r>
      <rPr>
        <b/>
        <sz val="11"/>
        <color theme="1"/>
        <rFont val="Calibri"/>
        <charset val="134"/>
        <scheme val="minor"/>
      </rPr>
      <t>Heatmap</t>
    </r>
    <r>
      <rPr>
        <sz val="11"/>
        <color theme="1"/>
        <rFont val="Calibri"/>
        <charset val="134"/>
      </rPr>
      <t xml:space="preserve"> showing frequency of grade vs. section combinations.</t>
    </r>
  </si>
  <si>
    <t>Identifies which sections specialize in certain grades — supports process mapping and optimization.</t>
  </si>
  <si>
    <t>GRADE vs Production (MT)</t>
  </si>
  <si>
    <r>
      <rPr>
        <b/>
        <sz val="11"/>
        <color theme="1"/>
        <rFont val="Calibri"/>
        <charset val="134"/>
        <scheme val="minor"/>
      </rPr>
      <t>Bar + Pie charts</t>
    </r>
    <r>
      <rPr>
        <sz val="11"/>
        <color theme="1"/>
        <rFont val="Calibri"/>
        <charset val="134"/>
      </rPr>
      <t xml:space="preserve"> showing top grades and their contribution share.</t>
    </r>
  </si>
  <si>
    <t>Reveals top contributing grades — helps prioritize high-profit grades.</t>
  </si>
  <si>
    <t>GRADE vs LM_WT</t>
  </si>
  <si>
    <r>
      <rPr>
        <b/>
        <sz val="11"/>
        <color theme="1"/>
        <rFont val="Calibri"/>
        <charset val="134"/>
        <scheme val="minor"/>
      </rPr>
      <t>Box and violin plots</t>
    </r>
    <r>
      <rPr>
        <sz val="11"/>
        <color theme="1"/>
        <rFont val="Calibri"/>
        <charset val="134"/>
      </rPr>
      <t xml:space="preserve"> for top 10 grades vs. LM_WT.</t>
    </r>
  </si>
  <si>
    <t>Shows input consistency across grades — supports quality and process standardization.</t>
  </si>
  <si>
    <t>DATETIME vs Production (MT)</t>
  </si>
  <si>
    <t>Datetime–Numeric</t>
  </si>
  <si>
    <r>
      <rPr>
        <b/>
        <sz val="11"/>
        <color theme="1"/>
        <rFont val="Calibri"/>
        <charset val="134"/>
        <scheme val="minor"/>
      </rPr>
      <t>Line plot</t>
    </r>
    <r>
      <rPr>
        <sz val="11"/>
        <color theme="1"/>
        <rFont val="Calibri"/>
        <charset val="134"/>
      </rPr>
      <t xml:space="preserve"> showing production trend over time.</t>
    </r>
  </si>
  <si>
    <t>Detects seasonal or operational trends; helps in planning and resource forecasting.</t>
  </si>
  <si>
    <t>Multivariate</t>
  </si>
  <si>
    <t>Pairplot (LM_WT, Production, Pour_Back_Metal, SEN_OPEN)</t>
  </si>
  <si>
    <t>Multi–Numeric</t>
  </si>
  <si>
    <r>
      <rPr>
        <b/>
        <sz val="11"/>
        <color theme="1"/>
        <rFont val="Calibri"/>
        <charset val="134"/>
        <scheme val="minor"/>
      </rPr>
      <t>Pairwise scatter plots and density plots</t>
    </r>
    <r>
      <rPr>
        <sz val="11"/>
        <color theme="1"/>
        <rFont val="Calibri"/>
        <charset val="134"/>
      </rPr>
      <t xml:space="preserve"> among numeric variables.</t>
    </r>
  </si>
  <si>
    <t>Strong correlation between LM_WT and Production; supports process control decisions.</t>
  </si>
  <si>
    <t>Correlation Heatmap (Numeric Variables)</t>
  </si>
  <si>
    <r>
      <rPr>
        <b/>
        <sz val="11"/>
        <color theme="1"/>
        <rFont val="Calibri"/>
        <charset val="134"/>
        <scheme val="minor"/>
      </rPr>
      <t>Heatmap</t>
    </r>
    <r>
      <rPr>
        <sz val="11"/>
        <color theme="1"/>
        <rFont val="Calibri"/>
        <charset val="134"/>
      </rPr>
      <t xml:space="preserve"> displaying correlation coefficients.</t>
    </r>
  </si>
  <si>
    <t>Confirms LM_WT ↔ Production correlation; other features weakly related — helps feature prioritization.</t>
  </si>
  <si>
    <t>3D Scatter Plot (LM_WT, Production, Pour_Back_Metal)</t>
  </si>
  <si>
    <r>
      <rPr>
        <b/>
        <sz val="11"/>
        <color theme="1"/>
        <rFont val="Calibri"/>
        <charset val="134"/>
        <scheme val="minor"/>
      </rPr>
      <t>3D visualization</t>
    </r>
    <r>
      <rPr>
        <sz val="11"/>
        <color theme="1"/>
        <rFont val="Calibri"/>
        <charset val="134"/>
      </rPr>
      <t xml:space="preserve"> of interdependence among LM_WT, Production, and Pour_Back_Metal.</t>
    </r>
  </si>
  <si>
    <t>Reveals diminishing returns beyond optimal LM_WT; supports efficient resource utilization.</t>
  </si>
  <si>
    <t>FacetGrid (Production vs LM_WT by HOT_COLD &amp; GRADE)</t>
  </si>
  <si>
    <t>Multi–Categorical/Numeric</t>
  </si>
  <si>
    <r>
      <rPr>
        <b/>
        <sz val="11"/>
        <color theme="1"/>
        <rFont val="Calibri"/>
        <charset val="134"/>
        <scheme val="minor"/>
      </rPr>
      <t>Faceted scatter plots</t>
    </r>
    <r>
      <rPr>
        <sz val="11"/>
        <color theme="1"/>
        <rFont val="Calibri"/>
        <charset val="134"/>
      </rPr>
      <t xml:space="preserve"> grouped by HOT/COLD and grade.</t>
    </r>
  </si>
  <si>
    <t>Shows grade–process-specific efficiency differences; supports targeted process optimization.</t>
  </si>
  <si>
    <t>Grade vs Section Heatmap (Top Categories)</t>
  </si>
  <si>
    <t>Multi–Categorical</t>
  </si>
  <si>
    <r>
      <rPr>
        <b/>
        <sz val="11"/>
        <color theme="1"/>
        <rFont val="Calibri"/>
        <charset val="134"/>
        <scheme val="minor"/>
      </rPr>
      <t>Heatmap</t>
    </r>
    <r>
      <rPr>
        <sz val="11"/>
        <color theme="1"/>
        <rFont val="Calibri"/>
        <charset val="134"/>
      </rPr>
      <t xml:space="preserve"> of top 15 grades × 10 sections.</t>
    </r>
  </si>
  <si>
    <t>Highlights specialization in certain sections — useful for workload and maintenance planning.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</si>
</sst>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6" applyFont="1" applyBorder="1" applyAlignment="1">
      <alignment vertical="center" wrapText="1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zoomScale="74" zoomScaleNormal="74" topLeftCell="B11" workbookViewId="0">
      <selection activeCell="D25" sqref="D25"/>
    </sheetView>
  </sheetViews>
  <sheetFormatPr defaultColWidth="37.7222222222222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3.2" spans="1:6">
      <c r="A2" s="2" t="s">
        <v>6</v>
      </c>
      <c r="B2" s="3" t="s">
        <v>7</v>
      </c>
      <c r="C2" s="4" t="s">
        <v>8</v>
      </c>
      <c r="D2" s="5" t="str">
        <f>HYPERLINK("https://github.com/Prajwal3208/DA_PROJECT_VISUALS/blob/main/GRADE%20%E2%80%94%20Frequency%20Distribution.png","CLICK HERE")</f>
        <v>CLICK HERE</v>
      </c>
      <c r="E2" s="3" t="s">
        <v>9</v>
      </c>
      <c r="F2" s="4" t="s">
        <v>10</v>
      </c>
    </row>
    <row r="3" ht="43.2" spans="1:6">
      <c r="A3" s="2"/>
      <c r="B3" s="3" t="s">
        <v>11</v>
      </c>
      <c r="C3" s="4" t="s">
        <v>8</v>
      </c>
      <c r="D3" s="5" t="str">
        <f>HYPERLINK("https://github.com/Prajwal3208/DA_PROJECT_VISUALS/blob/main/hot_cold%20production%20type%20mix.png","CLICK HERE")</f>
        <v>CLICK HERE</v>
      </c>
      <c r="E3" s="3" t="s">
        <v>12</v>
      </c>
      <c r="F3" s="4" t="s">
        <v>13</v>
      </c>
    </row>
    <row r="4" ht="43.2" spans="1:6">
      <c r="A4" s="6"/>
      <c r="B4" s="3" t="s">
        <v>14</v>
      </c>
      <c r="C4" s="4" t="s">
        <v>15</v>
      </c>
      <c r="D4" s="5" t="str">
        <f>HYPERLINK("https://github.com/Prajwal3208/DA_PROJECT_VISUALS/blob/main/rpduction%20distribution.png","CLICK HERE")</f>
        <v>CLICK HERE</v>
      </c>
      <c r="E4" s="3" t="s">
        <v>16</v>
      </c>
      <c r="F4" s="4" t="s">
        <v>17</v>
      </c>
    </row>
    <row r="5" ht="43.2" spans="1:6">
      <c r="A5" s="6"/>
      <c r="B5" s="3" t="s">
        <v>18</v>
      </c>
      <c r="C5" s="4" t="s">
        <v>15</v>
      </c>
      <c r="D5" s="5" t="str">
        <f>HYPERLINK("https://github.com/Prajwal3208/DA_PROJECT_VISUALS/blob/main/pourback%20metal%20distribution.png","CLICK HERE")</f>
        <v>CLICK HERE</v>
      </c>
      <c r="E5" s="3" t="s">
        <v>19</v>
      </c>
      <c r="F5" s="4" t="s">
        <v>20</v>
      </c>
    </row>
    <row r="6" ht="43.2" spans="1:6">
      <c r="A6" s="6"/>
      <c r="B6" s="3" t="s">
        <v>21</v>
      </c>
      <c r="C6" s="4" t="s">
        <v>15</v>
      </c>
      <c r="D6" s="5" t="str">
        <f>HYPERLINK("https://github.com/Prajwal3208/DA_PROJECT_VISUALS/blob/main/LM_WT%20distribution.png","CLICK HERE")</f>
        <v>CLICK HERE</v>
      </c>
      <c r="E6" s="3" t="s">
        <v>22</v>
      </c>
      <c r="F6" s="4" t="s">
        <v>23</v>
      </c>
    </row>
    <row r="7" ht="43.2" spans="1:6">
      <c r="A7" s="6"/>
      <c r="B7" s="3" t="s">
        <v>24</v>
      </c>
      <c r="C7" s="4" t="s">
        <v>8</v>
      </c>
      <c r="D7" s="5" t="str">
        <f>HYPERLINK("https://github.com/Prajwal3208/DA_PROJECT_VISUALS/blob/main/production%20by%20section.png","CLICK HERE")</f>
        <v>CLICK HERE</v>
      </c>
      <c r="E7" s="3" t="s">
        <v>25</v>
      </c>
      <c r="F7" s="4" t="s">
        <v>26</v>
      </c>
    </row>
    <row r="8" ht="28.8" spans="1:6">
      <c r="A8" s="6"/>
      <c r="B8" s="3" t="s">
        <v>27</v>
      </c>
      <c r="C8" s="4" t="s">
        <v>15</v>
      </c>
      <c r="D8" s="5" t="str">
        <f>HYPERLINK("https://github.com/Prajwal3208/DA_PROJECT_VISUALS/blob/main/sen_opn%20distribution.png","CLICK HERE")</f>
        <v>CLICK HERE</v>
      </c>
      <c r="E8" s="3" t="s">
        <v>28</v>
      </c>
      <c r="F8" s="4" t="s">
        <v>29</v>
      </c>
    </row>
    <row r="9" ht="43.2" spans="1:6">
      <c r="A9" s="6"/>
      <c r="B9" s="3" t="s">
        <v>30</v>
      </c>
      <c r="C9" s="4" t="s">
        <v>8</v>
      </c>
      <c r="D9" s="5" t="str">
        <f>HYPERLINK("https://github.com/Prajwal3208/DA_PROJECT_VISUALS/blob/main/section_ic%20frequency%20distribution.png","CLICK HERE")</f>
        <v>CLICK HERE</v>
      </c>
      <c r="E9" s="3" t="s">
        <v>31</v>
      </c>
      <c r="F9" s="4" t="s">
        <v>32</v>
      </c>
    </row>
    <row r="10" ht="43.2" spans="1:6">
      <c r="A10" s="6" t="s">
        <v>33</v>
      </c>
      <c r="B10" s="3" t="s">
        <v>34</v>
      </c>
      <c r="C10" s="4" t="s">
        <v>35</v>
      </c>
      <c r="D10" s="5" t="str">
        <f>HYPERLINK("https://github.com/Prajwal3208/DA_PROJECT_VISUALS/blob/main/LM_WT%20VS%20PRODUCTION.png","CLICK HERE")</f>
        <v>CLICK HERE</v>
      </c>
      <c r="E10" s="3" t="s">
        <v>36</v>
      </c>
      <c r="F10" s="4" t="s">
        <v>37</v>
      </c>
    </row>
    <row r="11" ht="43.2" spans="1:6">
      <c r="A11" s="6"/>
      <c r="B11" s="3" t="s">
        <v>38</v>
      </c>
      <c r="C11" s="4" t="s">
        <v>39</v>
      </c>
      <c r="D11" s="5" t="str">
        <f>HYPERLINK("https://github.com/Prajwal3208/DA_PROJECT_VISUALS/blob/main/HOTCOLD%20VS%20PRODUCTION.png","CLICK HERE")</f>
        <v>CLICK HERE</v>
      </c>
      <c r="E11" s="3" t="s">
        <v>40</v>
      </c>
      <c r="F11" s="4" t="s">
        <v>41</v>
      </c>
    </row>
    <row r="12" ht="43.2" spans="1:6">
      <c r="A12" s="6"/>
      <c r="B12" s="3" t="s">
        <v>42</v>
      </c>
      <c r="C12" s="4" t="s">
        <v>39</v>
      </c>
      <c r="D12" s="5" t="str">
        <f>HYPERLINK("https://github.com/Prajwal3208/DA_PROJECT_VISUALS/blob/main/SECTION_VS%20PRODUCTION.png","CLICK HERE")</f>
        <v>CLICK HERE</v>
      </c>
      <c r="E12" s="3" t="s">
        <v>43</v>
      </c>
      <c r="F12" s="4" t="s">
        <v>44</v>
      </c>
    </row>
    <row r="13" ht="43.2" spans="1:6">
      <c r="A13" s="6"/>
      <c r="B13" s="3" t="s">
        <v>45</v>
      </c>
      <c r="C13" s="4" t="s">
        <v>46</v>
      </c>
      <c r="D13" s="5" t="str">
        <f>HYPERLINK("https://github.com/Prajwal3208/DA_PROJECT_VISUALS/blob/main/GRADE%20VS%20HOTCOLD.png","CLICK HERE")</f>
        <v>CLICK HERE</v>
      </c>
      <c r="E13" s="3" t="s">
        <v>47</v>
      </c>
      <c r="F13" s="4" t="s">
        <v>48</v>
      </c>
    </row>
    <row r="14" ht="28.8" spans="1:6">
      <c r="A14" s="6"/>
      <c r="B14" s="3" t="s">
        <v>49</v>
      </c>
      <c r="C14" s="4" t="s">
        <v>35</v>
      </c>
      <c r="D14" s="5" t="str">
        <f>HYPERLINK("https://github.com/Prajwal3208/DA_PROJECT_VISUALS/blob/main/SEN_OPEN%20VS%20PRODUCTION.png","CLICK HERE")</f>
        <v>CLICK HERE</v>
      </c>
      <c r="E14" s="3" t="s">
        <v>50</v>
      </c>
      <c r="F14" s="4" t="s">
        <v>51</v>
      </c>
    </row>
    <row r="15" ht="28.8" spans="1:6">
      <c r="A15" s="6"/>
      <c r="B15" s="3" t="s">
        <v>52</v>
      </c>
      <c r="C15" s="4" t="s">
        <v>39</v>
      </c>
      <c r="D15" s="5" t="str">
        <f>HYPERLINK("https://github.com/Prajwal3208/DA_PROJECT_VISUALS/blob/main/SECTION_IC%20VS%20PRODUCTION.png","CLICK HERE")</f>
        <v>CLICK HERE</v>
      </c>
      <c r="E15" s="3" t="s">
        <v>53</v>
      </c>
      <c r="F15" s="4" t="s">
        <v>54</v>
      </c>
    </row>
    <row r="16" ht="28.8" spans="1:6">
      <c r="A16" s="6"/>
      <c r="B16" s="3" t="s">
        <v>55</v>
      </c>
      <c r="C16" s="4" t="s">
        <v>35</v>
      </c>
      <c r="D16" s="5" t="str">
        <f>HYPERLINK("https://github.com/Prajwal3208/DA_PROJECT_VISUALS/blob/main/POUR%20BACK%20METAL%20VS%20PRODUCTION.png","CLICK HERE")</f>
        <v>CLICK HERE</v>
      </c>
      <c r="E16" s="3" t="s">
        <v>56</v>
      </c>
      <c r="F16" s="4" t="s">
        <v>57</v>
      </c>
    </row>
    <row r="17" ht="43.2" spans="1:6">
      <c r="A17" s="6"/>
      <c r="B17" s="3" t="s">
        <v>58</v>
      </c>
      <c r="C17" s="4" t="s">
        <v>46</v>
      </c>
      <c r="D17" s="5" t="str">
        <f>HYPERLINK("https://github.com/Prajwal3208/DA_PROJECT_VISUALS/blob/main/GRADE%20VS%20SECTION.png","CLICK HERE")</f>
        <v>CLICK HERE</v>
      </c>
      <c r="E17" s="3" t="s">
        <v>59</v>
      </c>
      <c r="F17" s="4" t="s">
        <v>60</v>
      </c>
    </row>
    <row r="18" ht="28.8" spans="1:6">
      <c r="A18" s="6"/>
      <c r="B18" s="3" t="s">
        <v>61</v>
      </c>
      <c r="C18" s="4" t="s">
        <v>39</v>
      </c>
      <c r="D18" s="5" t="str">
        <f>HYPERLINK("https://github.com/Prajwal3208/DA_PROJECT_VISUALS/blob/main/GRADE%20VS%20PRODUCTION.png","CLICK HERE")</f>
        <v>CLICK HERE</v>
      </c>
      <c r="E18" s="3" t="s">
        <v>62</v>
      </c>
      <c r="F18" s="4" t="s">
        <v>63</v>
      </c>
    </row>
    <row r="19" ht="28.8" spans="1:6">
      <c r="A19" s="6"/>
      <c r="B19" s="3" t="s">
        <v>64</v>
      </c>
      <c r="C19" s="4" t="s">
        <v>39</v>
      </c>
      <c r="D19" s="5" t="str">
        <f>HYPERLINK("https://github.com/Prajwal3208/DA_PROJECT_VISUALS/blob/main/GRADE%20VS%20lmwt.png","CLICK HERE")</f>
        <v>CLICK HERE</v>
      </c>
      <c r="E19" s="3" t="s">
        <v>65</v>
      </c>
      <c r="F19" s="4" t="s">
        <v>66</v>
      </c>
    </row>
    <row r="20" ht="28.8" spans="1:6">
      <c r="A20" s="6"/>
      <c r="B20" s="3" t="s">
        <v>67</v>
      </c>
      <c r="C20" s="4" t="s">
        <v>68</v>
      </c>
      <c r="D20" s="5" t="str">
        <f>HYPERLINK("https://github.com/Prajwal3208/DA_PROJECT_VISUALS/blob/main/DATE%20TIME%20VS%20PRO.png","CLICK HERE")</f>
        <v>CLICK HERE</v>
      </c>
      <c r="E20" s="3" t="s">
        <v>69</v>
      </c>
      <c r="F20" s="4" t="s">
        <v>70</v>
      </c>
    </row>
    <row r="21" ht="43.2" spans="1:6">
      <c r="A21" s="6" t="s">
        <v>71</v>
      </c>
      <c r="B21" s="3" t="s">
        <v>72</v>
      </c>
      <c r="C21" s="4" t="s">
        <v>73</v>
      </c>
      <c r="D21" s="5" t="str">
        <f>HYPERLINK("https://github.com/Prajwal3208/DA_PROJECT_VISUALS/blob/main/PAIRPLOT.png","CLICK HERE")</f>
        <v>CLICK HERE</v>
      </c>
      <c r="E21" s="3" t="s">
        <v>74</v>
      </c>
      <c r="F21" s="4" t="s">
        <v>75</v>
      </c>
    </row>
    <row r="22" ht="43.2" spans="1:6">
      <c r="A22" s="6"/>
      <c r="B22" s="3" t="s">
        <v>76</v>
      </c>
      <c r="C22" s="4" t="s">
        <v>73</v>
      </c>
      <c r="D22" s="5" t="str">
        <f>HYPERLINK("https://github.com/Prajwal3208/DA_PROJECT_VISUALS/blob/main/CORRELATION%20HEATMAP.png","CLICK HERE")</f>
        <v>CLICK HERE</v>
      </c>
      <c r="E22" s="3" t="s">
        <v>77</v>
      </c>
      <c r="F22" s="4" t="s">
        <v>78</v>
      </c>
    </row>
    <row r="23" ht="43.2" spans="1:6">
      <c r="A23" s="6"/>
      <c r="B23" s="3" t="s">
        <v>79</v>
      </c>
      <c r="C23" s="4" t="s">
        <v>73</v>
      </c>
      <c r="D23" s="5" t="str">
        <f>HYPERLINK("https://github.com/Prajwal3208/DA_PROJECT_VISUALS/blob/main/3D%20SCATTER%20PLOT.png","CLICK HERE")</f>
        <v>CLICK HERE</v>
      </c>
      <c r="E23" s="3" t="s">
        <v>80</v>
      </c>
      <c r="F23" s="4" t="s">
        <v>81</v>
      </c>
    </row>
    <row r="24" ht="43.2" spans="1:6">
      <c r="A24" s="6"/>
      <c r="B24" s="3" t="s">
        <v>82</v>
      </c>
      <c r="C24" s="4" t="s">
        <v>83</v>
      </c>
      <c r="D24" s="5" t="str">
        <f>HYPERLINK("https://github.com/Prajwal3208/DA_PROJECT_VISUALS/blob/main/FACEFRID.png","CLICK HERE")</f>
        <v>CLICK HERE</v>
      </c>
      <c r="E24" s="3" t="s">
        <v>84</v>
      </c>
      <c r="F24" s="4" t="s">
        <v>85</v>
      </c>
    </row>
    <row r="25" ht="43.2" spans="1:6">
      <c r="A25" s="6"/>
      <c r="B25" s="3" t="s">
        <v>86</v>
      </c>
      <c r="C25" s="4" t="s">
        <v>87</v>
      </c>
      <c r="D25" s="5" t="str">
        <f>HYPERLINK("https://github.com/Prajwal3208/DA_PROJECT_VISUALS/blob/main/GRADE%20VS%20SECTION%20HEAT%20MAP.png","CLICK HERE")</f>
        <v>CLICK HERE</v>
      </c>
      <c r="E25" s="3" t="s">
        <v>88</v>
      </c>
      <c r="F25" s="4" t="s">
        <v>89</v>
      </c>
    </row>
  </sheetData>
  <pageMargins left="0.7" right="0.7" top="0.75" bottom="0.75" header="0.3" footer="0.3"/>
  <headerFooter/>
  <ignoredErrors>
    <ignoredError sqref="D2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Prajwal Kadam</cp:lastModifiedBy>
  <dcterms:created xsi:type="dcterms:W3CDTF">2025-05-16T16:43:00Z</dcterms:created>
  <dcterms:modified xsi:type="dcterms:W3CDTF">2025-10-27T21:19:56Z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955C6FCC96D64A82A513CDC333D562C8_13</vt:lpwstr>
  </property>
  <property fmtid="{D5CDD505-2E9C-101B-9397-08002B2CF9AE}" pid="3" name="KSOProductBuildVer">
    <vt:lpwstr>1033-12.2.0.23131</vt:lpwstr>
  </property>
</Properties>
</file>